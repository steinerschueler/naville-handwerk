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lkul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<sst xmlns="http://schemas.openxmlformats.org/spreadsheetml/2006/main" count="42" uniqueCount="42">
  <si>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Verrechnungssatz-Kalkulator – Einpersonen-Verleih-GmbH (Elektrobranche)</t>
  </si>
  <si>
    <t xml:space="preserve">Blaue Zellen mit gelbem Hintergrund = Eingabewerte, bitte anpassen. Alle übrigen Zellen rechnen automatisch.</t>
  </si>
  <si>
    <t xml:space="preserve">Stand: Juli 2026 · GAV Elektro 2026–2029 (AVE) und GAV Personalverleih · Sätze für BVG/KTG/BU sind Schätzwerte – durch Offerten ersetzen.</t>
  </si>
  <si>
    <t xml:space="preserve">1  Lohn-Parameter</t>
  </si>
  <si>
    <t xml:space="preserve">Monatlicher Grundlohn (CHF)</t>
  </si>
  <si>
    <t xml:space="preserve">Anzahl Monatslöhne (inkl. 13.)</t>
  </si>
  <si>
    <t xml:space="preserve">GAV-Elektro-Mindestlohn, El.installateur EFZ ab 2. Erfahrungsjahr (CHF/Monat)</t>
  </si>
  <si>
    <t xml:space="preserve">Kontrolle: Grundlohn ≥ GAV-Mindestlohn?</t>
  </si>
  <si>
    <t xml:space="preserve">2  Arbeitszeit und verrechenbare Stunden</t>
  </si>
  <si>
    <t xml:space="preserve">Jahresbruttoarbeitszeit gem. GAV (h, 2026: 2088)</t>
  </si>
  <si>
    <t xml:space="preserve">Ferientage (GAV 2026: 27 Tage bis Alter 50)</t>
  </si>
  <si>
    <t xml:space="preserve">Feiertage (Arbeitstage, Kanton Bern ca.)</t>
  </si>
  <si>
    <t xml:space="preserve">Krankheits-/Absenzreserve (h)</t>
  </si>
  <si>
    <t xml:space="preserve">Akquise, Offerten, Administration (h)</t>
  </si>
  <si>
    <t xml:space="preserve">Auslastung der verbleibenden Einsatzzeit</t>
  </si>
  <si>
    <t xml:space="preserve">Netto verfügbare Einsatzstunden</t>
  </si>
  <si>
    <t xml:space="preserve">Verrechenbare Stunden</t>
  </si>
  <si>
    <t xml:space="preserve">3  Lohnnebenkosten (Arbeitgeber-Anteile, in % des Bruttolohns)</t>
  </si>
  <si>
    <t xml:space="preserve">AHV/IV/EO inkl. Verwaltungskosten</t>
  </si>
  <si>
    <t xml:space="preserve">ALV</t>
  </si>
  <si>
    <t xml:space="preserve">Familienausgleichskasse FAK (Kanton Bern)</t>
  </si>
  <si>
    <t xml:space="preserve">Berufsunfall BU (Suva, Schätzung)</t>
  </si>
  <si>
    <t xml:space="preserve">Krankentaggeld KTG, Branchenlösung GAV PV (AG-Anteil, Schätzung)</t>
  </si>
  <si>
    <t xml:space="preserve">BVG (AG-Anteil, Alter 34, Schätzung)</t>
  </si>
  <si>
    <t xml:space="preserve">temptraining / Vollzug GAV Personalverleih (AG-Anteil)</t>
  </si>
  <si>
    <t xml:space="preserve">Total Lohnnebenkosten</t>
  </si>
  <si>
    <t xml:space="preserve">4  Fixkosten und Marge</t>
  </si>
  <si>
    <t xml:space="preserve">GmbH-Fixkosten pro Jahr (Treuhänder, Bewilligung/Kaution, Versicherung, IT usw.)</t>
  </si>
  <si>
    <t xml:space="preserve">Sicherheitsmarge / Gewinn</t>
  </si>
  <si>
    <t xml:space="preserve">5  Berechnung</t>
  </si>
  <si>
    <t xml:space="preserve">Jahresbruttolohn</t>
  </si>
  <si>
    <t xml:space="preserve">Lohnnebenkosten</t>
  </si>
  <si>
    <t xml:space="preserve">Personalaufwand total</t>
  </si>
  <si>
    <t xml:space="preserve">Gesamtkosten (Personal + Fixkosten)</t>
  </si>
  <si>
    <t xml:space="preserve">Gesamtkosten inkl. Marge</t>
  </si>
  <si>
    <t xml:space="preserve">VERRECHNUNGSSATZ (CHF pro verrechenbare Stunde)</t>
  </si>
  <si>
    <t xml:space="preserve">Zum Vergleich: dein Basis-Stundenlohn (Grundlohn / 174)</t>
  </si>
  <si>
    <t xml:space="preserve">Faktor Verrechnungssatz / Basisstundenlohn</t>
  </si>
  <si>
    <t xml:space="preserve">6  Sensitivität: Auslastung → Verrechnungssatz</t>
  </si>
  <si>
    <t xml:space="preserve">Auslastung</t>
  </si>
  <si>
    <t xml:space="preserve">Satz (CHF/h)</t>
  </si>
  <si>
    <t xml:space="preserve">Hinweis: Grundlohn CHF 6'000 = realistischer Marktlohn für Elektroinstallateur EFZ mit 10 Jahren Erfahrung; GAV-Minimum (Zeile 8) ist die rechtliche Untergrenze. Quellen: GAV Elektro 2026–2029 (eit.swiss), GAV Personalverleih (tempservice.ch), Grundlohn und Schätzsätze gemäss Angaben des Nutzers bzw. üblichen Bandbreiten.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</si>
</sst>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CHF&quot;"/>
    <numFmt numFmtId="166" formatCode="0"/>
    <numFmt numFmtId="167" formatCode="#,##0&quot; h&quot;"/>
    <numFmt numFmtId="168" formatCode="0.0%"/>
    <numFmt numFmtId="169" formatCode="#,##0.00&quot; CHF&quot;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8.5"/>
      <color rgb="FF555555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F3F8"/>
        <bgColor rgb="FFD9E8D4"/>
      </patternFill>
    </fill>
    <fill>
      <patternFill patternType="solid">
        <fgColor rgb="FFD9E8D4"/>
        <bgColor rgb="FFEEF3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3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5" t="n">
        <v>6000</v>
      </c>
    </row>
    <row r="7" customFormat="false" ht="15" hidden="false" customHeight="false" outlineLevel="0" collapsed="false">
      <c r="A7" s="4" t="s">
        <v>5</v>
      </c>
      <c r="B7" s="6" t="n">
        <v>13</v>
      </c>
    </row>
    <row r="8" customFormat="false" ht="15" hidden="false" customHeight="false" outlineLevel="0" collapsed="false">
      <c r="A8" s="4" t="s">
        <v>6</v>
      </c>
      <c r="B8" s="5" t="n">
        <v>5000</v>
      </c>
    </row>
    <row r="9" customFormat="false" ht="15" hidden="false" customHeight="false" outlineLevel="0" collapsed="false">
      <c r="A9" s="4" t="s">
        <v>7</v>
      </c>
      <c r="B9" s="7" t="str">
        <f aca="false">IF(B6&gt;=B8,"OK","ZU TIEF!")</f>
        <v>OK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  <c r="B12" s="8" t="n">
        <v>2088</v>
      </c>
    </row>
    <row r="13" customFormat="false" ht="15" hidden="false" customHeight="false" outlineLevel="0" collapsed="false">
      <c r="A13" s="4" t="s">
        <v>10</v>
      </c>
      <c r="B13" s="6" t="n">
        <v>27</v>
      </c>
    </row>
    <row r="14" customFormat="false" ht="15" hidden="false" customHeight="false" outlineLevel="0" collapsed="false">
      <c r="A14" s="4" t="s">
        <v>11</v>
      </c>
      <c r="B14" s="6" t="n">
        <v>9</v>
      </c>
    </row>
    <row r="15" customFormat="false" ht="15" hidden="false" customHeight="false" outlineLevel="0" collapsed="false">
      <c r="A15" s="4" t="s">
        <v>12</v>
      </c>
      <c r="B15" s="8" t="n">
        <v>40</v>
      </c>
    </row>
    <row r="16" customFormat="false" ht="15" hidden="false" customHeight="false" outlineLevel="0" collapsed="false">
      <c r="A16" s="4" t="s">
        <v>13</v>
      </c>
      <c r="B16" s="8" t="n">
        <v>100</v>
      </c>
    </row>
    <row r="17" customFormat="false" ht="15" hidden="false" customHeight="false" outlineLevel="0" collapsed="false">
      <c r="A17" s="4" t="s">
        <v>14</v>
      </c>
      <c r="B17" s="9" t="n">
        <v>0.9</v>
      </c>
    </row>
    <row r="18" customFormat="false" ht="15" hidden="false" customHeight="false" outlineLevel="0" collapsed="false">
      <c r="A18" s="4" t="s">
        <v>15</v>
      </c>
      <c r="B18" s="10" t="n">
        <f aca="false">B12-(B13*8)-(B14*8)-B15-B16</f>
        <v>1660</v>
      </c>
    </row>
    <row r="19" customFormat="false" ht="15" hidden="false" customHeight="false" outlineLevel="0" collapsed="false">
      <c r="A19" s="4" t="s">
        <v>16</v>
      </c>
      <c r="B19" s="11" t="n">
        <f aca="false">B18*B17</f>
        <v>1494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4" t="s">
        <v>18</v>
      </c>
      <c r="B22" s="9" t="n">
        <v>0.055</v>
      </c>
    </row>
    <row r="23" customFormat="false" ht="15" hidden="false" customHeight="false" outlineLevel="0" collapsed="false">
      <c r="A23" s="4" t="s">
        <v>19</v>
      </c>
      <c r="B23" s="9" t="n">
        <v>0.011</v>
      </c>
    </row>
    <row r="24" customFormat="false" ht="15" hidden="false" customHeight="false" outlineLevel="0" collapsed="false">
      <c r="A24" s="4" t="s">
        <v>20</v>
      </c>
      <c r="B24" s="9" t="n">
        <v>0.017</v>
      </c>
    </row>
    <row r="25" customFormat="false" ht="15" hidden="false" customHeight="false" outlineLevel="0" collapsed="false">
      <c r="A25" s="4" t="s">
        <v>21</v>
      </c>
      <c r="B25" s="9" t="n">
        <v>0.015</v>
      </c>
    </row>
    <row r="26" customFormat="false" ht="15" hidden="false" customHeight="false" outlineLevel="0" collapsed="false">
      <c r="A26" s="4" t="s">
        <v>22</v>
      </c>
      <c r="B26" s="9" t="n">
        <v>0.012</v>
      </c>
    </row>
    <row r="27" customFormat="false" ht="15" hidden="false" customHeight="false" outlineLevel="0" collapsed="false">
      <c r="A27" s="4" t="s">
        <v>23</v>
      </c>
      <c r="B27" s="9" t="n">
        <v>0.045</v>
      </c>
    </row>
    <row r="28" customFormat="false" ht="15" hidden="false" customHeight="false" outlineLevel="0" collapsed="false">
      <c r="A28" s="4" t="s">
        <v>24</v>
      </c>
      <c r="B28" s="9" t="n">
        <v>0.003</v>
      </c>
    </row>
    <row r="29" customFormat="false" ht="15" hidden="false" customHeight="false" outlineLevel="0" collapsed="false">
      <c r="A29" s="12" t="s">
        <v>25</v>
      </c>
      <c r="B29" s="13" t="n">
        <f aca="false">SUM(B22:B28)</f>
        <v>0.158</v>
      </c>
    </row>
    <row r="31" customFormat="false" ht="15" hidden="false" customHeight="false" outlineLevel="0" collapsed="false">
      <c r="A31" s="3" t="s">
        <v>26</v>
      </c>
    </row>
    <row r="32" customFormat="false" ht="15" hidden="false" customHeight="false" outlineLevel="0" collapsed="false">
      <c r="A32" s="4" t="s">
        <v>27</v>
      </c>
      <c r="B32" s="5" t="n">
        <v>10000</v>
      </c>
    </row>
    <row r="33" customFormat="false" ht="15" hidden="false" customHeight="false" outlineLevel="0" collapsed="false">
      <c r="A33" s="4" t="s">
        <v>28</v>
      </c>
      <c r="B33" s="9" t="n">
        <v>0.1</v>
      </c>
    </row>
    <row r="35" customFormat="false" ht="15" hidden="false" customHeight="false" outlineLevel="0" collapsed="false">
      <c r="A35" s="3" t="s">
        <v>29</v>
      </c>
    </row>
    <row r="36" customFormat="false" ht="15" hidden="false" customHeight="false" outlineLevel="0" collapsed="false">
      <c r="A36" s="4" t="s">
        <v>30</v>
      </c>
      <c r="B36" s="14" t="n">
        <f aca="false">B6*B7</f>
        <v>78000</v>
      </c>
    </row>
    <row r="37" customFormat="false" ht="15" hidden="false" customHeight="false" outlineLevel="0" collapsed="false">
      <c r="A37" s="4" t="s">
        <v>31</v>
      </c>
      <c r="B37" s="14" t="n">
        <f aca="false">B36*B29</f>
        <v>12324</v>
      </c>
    </row>
    <row r="38" customFormat="false" ht="15" hidden="false" customHeight="false" outlineLevel="0" collapsed="false">
      <c r="A38" s="4" t="s">
        <v>32</v>
      </c>
      <c r="B38" s="14" t="n">
        <f aca="false">B36+B37</f>
        <v>90324</v>
      </c>
    </row>
    <row r="39" customFormat="false" ht="15" hidden="false" customHeight="false" outlineLevel="0" collapsed="false">
      <c r="A39" s="4" t="s">
        <v>33</v>
      </c>
      <c r="B39" s="14" t="n">
        <f aca="false">B38+B32</f>
        <v>100324</v>
      </c>
    </row>
    <row r="40" customFormat="false" ht="15" hidden="false" customHeight="false" outlineLevel="0" collapsed="false">
      <c r="A40" s="4" t="s">
        <v>34</v>
      </c>
      <c r="B40" s="14" t="n">
        <f aca="false">B39*(1+B33)</f>
        <v>110356.4</v>
      </c>
    </row>
    <row r="42" customFormat="false" ht="15" hidden="false" customHeight="false" outlineLevel="0" collapsed="false">
      <c r="A42" s="15" t="s">
        <v>35</v>
      </c>
      <c r="B42" s="16" t="n">
        <f aca="false">B40/B19</f>
        <v>73.8663989290495</v>
      </c>
    </row>
    <row r="43" customFormat="false" ht="15" hidden="false" customHeight="false" outlineLevel="0" collapsed="false">
      <c r="A43" s="4" t="s">
        <v>36</v>
      </c>
      <c r="B43" s="17" t="n">
        <f aca="false">B6/174</f>
        <v>34.4827586206897</v>
      </c>
    </row>
    <row r="44" customFormat="false" ht="15" hidden="false" customHeight="false" outlineLevel="0" collapsed="false">
      <c r="A44" s="4" t="s">
        <v>37</v>
      </c>
      <c r="B44" s="18" t="n">
        <f aca="false">B42/B43</f>
        <v>2.14212556894244</v>
      </c>
    </row>
    <row r="46" customFormat="false" ht="15" hidden="false" customHeight="false" outlineLevel="0" collapsed="false">
      <c r="A46" s="3" t="s">
        <v>38</v>
      </c>
    </row>
    <row r="47" customFormat="false" ht="15" hidden="false" customHeight="false" outlineLevel="0" collapsed="false">
      <c r="A47" s="19" t="s">
        <v>39</v>
      </c>
      <c r="B47" s="20" t="n">
        <v>0.8</v>
      </c>
      <c r="C47" s="20" t="n">
        <v>0.85</v>
      </c>
      <c r="D47" s="20" t="n">
        <v>0.9</v>
      </c>
      <c r="E47" s="20" t="n">
        <v>0.95</v>
      </c>
      <c r="F47" s="20" t="n">
        <v>1</v>
      </c>
    </row>
    <row r="48" customFormat="false" ht="15" hidden="false" customHeight="false" outlineLevel="0" collapsed="false">
      <c r="A48" s="19" t="s">
        <v>40</v>
      </c>
      <c r="B48" s="21" t="n">
        <f aca="false">$B$40/($B$18*B47)</f>
        <v>83.0996987951807</v>
      </c>
      <c r="C48" s="21" t="n">
        <f aca="false">$B$40/($B$18*C47)</f>
        <v>78.2114812189936</v>
      </c>
      <c r="D48" s="21" t="n">
        <f aca="false">$B$40/($B$18*D47)</f>
        <v>73.8663989290495</v>
      </c>
      <c r="E48" s="21" t="n">
        <f aca="false">$B$40/($B$18*E47)</f>
        <v>69.9786937222575</v>
      </c>
      <c r="F48" s="21" t="n">
        <f aca="false">$B$40/($B$18*F47)</f>
        <v>66.4797590361446</v>
      </c>
    </row>
    <row r="50" customFormat="false" ht="39.75" hidden="false" customHeight="true" outlineLevel="0" collapsed="false">
      <c r="A50" s="2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2026-07-12T17:58:36Z</dcterms:created>
  <dc:creator>openpyxl</dc:creator>
  <dc:description/>
  <dc:language>en-US</dc:language>
  <cp:lastModifiedBy/>
  <dcterms:modified xsi:type="dcterms:W3CDTF">2026-07-12T17:58:36Z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